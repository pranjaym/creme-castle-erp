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jay/Library/Mobile Documents/com~apple~CloudDocs/Downloads Drive/Context for Claude Max/"/>
    </mc:Choice>
  </mc:AlternateContent>
  <xr:revisionPtr revIDLastSave="0" documentId="13_ncr:1_{A895593F-FBAA-D548-909B-6FF1834C24C6}" xr6:coauthVersionLast="47" xr6:coauthVersionMax="47" xr10:uidLastSave="{00000000-0000-0000-0000-000000000000}"/>
  <bookViews>
    <workbookView xWindow="4420" yWindow="660" windowWidth="25820" windowHeight="16940" xr2:uid="{4A85D9A4-EAA4-2347-A37E-DB93D7A81CF3}"/>
  </bookViews>
  <sheets>
    <sheet name="Sheet1" sheetId="1" r:id="rId1"/>
    <sheet name="Sheet2" sheetId="2" r:id="rId2"/>
  </sheets>
  <definedNames>
    <definedName name="_xlnm._FilterDatabase" localSheetId="0" hidden="1">Sheet1!$A$1:$J$48</definedName>
    <definedName name="_xlnm._FilterDatabase" localSheetId="1" hidden="1">Sheet2!$A$1:$G$39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1" l="1"/>
  <c r="I48" i="1"/>
  <c r="J47" i="1"/>
  <c r="I47" i="1"/>
  <c r="J46" i="1"/>
  <c r="I46" i="1"/>
  <c r="J34" i="1"/>
  <c r="I34" i="1"/>
  <c r="J35" i="1"/>
  <c r="I35" i="1"/>
  <c r="J33" i="1"/>
  <c r="I33" i="1"/>
  <c r="J32" i="1"/>
  <c r="I32" i="1"/>
  <c r="J31" i="1"/>
  <c r="I31" i="1"/>
  <c r="J30" i="1"/>
  <c r="I30" i="1"/>
  <c r="J29" i="1"/>
  <c r="I29" i="1"/>
  <c r="J26" i="1"/>
  <c r="I26" i="1"/>
  <c r="J27" i="1"/>
  <c r="I27" i="1"/>
  <c r="J28" i="1"/>
  <c r="I28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2" i="1"/>
  <c r="I12" i="1"/>
  <c r="J13" i="1"/>
  <c r="I13" i="1"/>
  <c r="J14" i="1"/>
  <c r="I14" i="1"/>
  <c r="J11" i="1"/>
  <c r="I11" i="1"/>
  <c r="J3" i="1"/>
  <c r="I3" i="1"/>
  <c r="J10" i="1"/>
  <c r="I10" i="1"/>
  <c r="J2" i="1"/>
  <c r="I2" i="1"/>
  <c r="J9" i="1"/>
  <c r="I9" i="1"/>
  <c r="J4" i="1"/>
  <c r="I4" i="1"/>
  <c r="J8" i="1"/>
  <c r="I8" i="1"/>
  <c r="J5" i="1"/>
  <c r="I5" i="1"/>
  <c r="J7" i="1"/>
  <c r="I7" i="1"/>
  <c r="J6" i="1"/>
  <c r="I6" i="1"/>
  <c r="F6" i="1"/>
  <c r="F48" i="1"/>
  <c r="F47" i="1"/>
  <c r="F46" i="1"/>
  <c r="F34" i="1"/>
  <c r="F35" i="1"/>
  <c r="F33" i="1"/>
  <c r="F32" i="1"/>
  <c r="F31" i="1"/>
  <c r="F30" i="1"/>
  <c r="F29" i="1"/>
  <c r="F26" i="1"/>
  <c r="F27" i="1"/>
  <c r="F28" i="1"/>
  <c r="F25" i="1"/>
  <c r="F24" i="1"/>
  <c r="F23" i="1"/>
  <c r="F22" i="1"/>
  <c r="F21" i="1"/>
  <c r="F20" i="1"/>
  <c r="F19" i="1"/>
  <c r="F18" i="1"/>
  <c r="F17" i="1"/>
  <c r="F16" i="1"/>
  <c r="F15" i="1"/>
  <c r="F12" i="1"/>
  <c r="F13" i="1"/>
  <c r="F14" i="1"/>
  <c r="F11" i="1"/>
  <c r="F3" i="1"/>
  <c r="F10" i="1"/>
  <c r="F2" i="1"/>
  <c r="F9" i="1"/>
  <c r="F4" i="1"/>
  <c r="F8" i="1"/>
  <c r="F5" i="1"/>
  <c r="F7" i="1"/>
</calcChain>
</file>

<file path=xl/sharedStrings.xml><?xml version="1.0" encoding="utf-8"?>
<sst xmlns="http://schemas.openxmlformats.org/spreadsheetml/2006/main" count="351" uniqueCount="159">
  <si>
    <t>Swiggy RID</t>
  </si>
  <si>
    <t>Zomato RID</t>
  </si>
  <si>
    <t>Outlet Name-New</t>
  </si>
  <si>
    <t>CC-DL-Janakpuri</t>
  </si>
  <si>
    <t>CC-DL-Krishna Nagar</t>
  </si>
  <si>
    <t>CC-DL-Shahpurjat</t>
  </si>
  <si>
    <t>CC-GGN-DLF Ph 4</t>
  </si>
  <si>
    <t>CC-GGN-Sector 4</t>
  </si>
  <si>
    <t>CC-GGN-Sector 49</t>
  </si>
  <si>
    <t>CC-ND-Alpha 2</t>
  </si>
  <si>
    <t>CC-ND-Sector 45</t>
  </si>
  <si>
    <t>CC-ND-Sector 68</t>
  </si>
  <si>
    <t>CC-ND-Sector141</t>
  </si>
  <si>
    <t>CC-DL-Dwarka</t>
  </si>
  <si>
    <t>CC-DL-Karol Bagh</t>
  </si>
  <si>
    <t>CC-DL-Shalimar Bagh</t>
  </si>
  <si>
    <t>CC-FBD-Sector 15</t>
  </si>
  <si>
    <t>CC-GZB-Vasundhara</t>
  </si>
  <si>
    <t>CC-DL-Vasant Kunj</t>
  </si>
  <si>
    <t>CC-UP-Meerut</t>
  </si>
  <si>
    <t>CC-ND-Gaur City</t>
  </si>
  <si>
    <t>CC-DL-NFC</t>
  </si>
  <si>
    <t>CC-DL-Mayur Vihar Ph 3</t>
  </si>
  <si>
    <t>CC-JP-Malviya Nagar</t>
  </si>
  <si>
    <t>CC-JP-Bais Godam</t>
  </si>
  <si>
    <t>CC-JP-Vaishali Nagar</t>
  </si>
  <si>
    <t>CC-GGN-Sector 60</t>
  </si>
  <si>
    <t>CC-GGN-Sector 86</t>
  </si>
  <si>
    <t>CC-DL-Rohini</t>
  </si>
  <si>
    <t>CC-DL-Paschim Vihar</t>
  </si>
  <si>
    <t>CC-GGN-Sector 37</t>
  </si>
  <si>
    <t>CC-GZB-Raj Nagar</t>
  </si>
  <si>
    <t>CC-DL-Sarita Vihar</t>
  </si>
  <si>
    <t>CC-CHD-Mohali</t>
  </si>
  <si>
    <t>CC-CHD-Zirakpur</t>
  </si>
  <si>
    <t>CC-CHD-Sector 16</t>
  </si>
  <si>
    <t>CC-CHD-Industrial Area</t>
  </si>
  <si>
    <t>Address</t>
  </si>
  <si>
    <t>Built-Up Property Bearing No. WZ-61, Nangli Jalib, B-1, Janakpuri, New Delhi -110058</t>
  </si>
  <si>
    <t>SHOP NO.5, F-15/10 KRISHNA NAGAR, East Delhi, Delhi-110051</t>
  </si>
  <si>
    <t>SHOP NO.4, SHAHPUR JAT VILLAGE , HAUZ KHAS, South , Delhi-110049</t>
  </si>
  <si>
    <t>SHOP NO.13 VIJAYA COMPLEX VAKIL MAREKT CHAKKARPUR GURGAON, Haryana-122002</t>
  </si>
  <si>
    <t>PLOT NO.30, SEC-4 URBAN ESTATE GURGAON COMMERCIAL BOOTHS (AUCTION), Gurgaon, Haryana-122006</t>
  </si>
  <si>
    <t>UNIT NO.122, IST FLOOR, BLOCK-D, THE ARCADIA-II SOUTY CITY-2 SEC-49, Gurgaon, Haryana-122018</t>
  </si>
  <si>
    <t>GF-55, K B COMPLEX, ALPHA-2, GR NOIDA-201310, GautamBudh Nagar Tahsil-I, Uttar Pradesh-201310</t>
  </si>
  <si>
    <t>GF A V RESIDENCY OYO 53M SADARPUR SECTOR-45 NOIDA, NOIDA CITY ZONE-4, Gautam Buddha Nagar , Uttar Pradesh-201301</t>
  </si>
  <si>
    <t>SHOP NO.3, AAKAR HOMES,VILLAGE GARHI, SECTOR-68, NOIDA CITY ZONE-2, Gautam Buddha Nagar , Uttar Pradesh-201301.</t>
  </si>
  <si>
    <t>SHOP NO.1 GROUND FLOOR SECTOR-141, Noida, Gautam Buddha Nagar , Uttar Pradesh-201304</t>
  </si>
  <si>
    <t>A-80, Shop No.-3, Sector- 7, Bhati Nursing, Palm Extension, Dwarka, New Delhi- 110075</t>
  </si>
  <si>
    <t>16/947-948, Ground Floor, Gali no.-3, Naiwala Faiz Road, Karol Bagh, Delhi- 110005</t>
  </si>
  <si>
    <t>SHOP NO- 13, GROUND FLOOR CSC, BLK AC-1, SHALIMAR BAGH EAST CITY NEAR ALL HEAVENS BAR, SARASWATI VIHAR, North West, Delhi- 110088</t>
  </si>
  <si>
    <t>D-542, Village Ajronda , Sector -15A Market, Near Satsang Bhawan Road, Faridabad, Haryana - 121007</t>
  </si>
  <si>
    <t>SHOP NO.28 PLOT NO.11, SUNRISE MALL, SECTOR 11 VASUNDHARA, Ghaziabad Nagar Nigam Zone-5, Uttar Pradesh-201012</t>
  </si>
  <si>
    <t>Shop no-4, 44/9, kishangarh, Vasant Kunj, New delhi ,110070</t>
  </si>
  <si>
    <t>SHOP NO.1, 419/2, SECTOR-2 SHASTRI NAGAR, MEERUT, Uttar Pradesh-250002</t>
  </si>
  <si>
    <t>SHOP NO.9 GROUND FLOOR DHARAM PLAZA BISRAKH JALALPUR, DADRI TEHSIL -2, Gautam Buddha Nagar , Uttar Pradesh, 201308</t>
  </si>
  <si>
    <t>SHOP NO.1 GROUND FLOOR,HS NO.76, TAMOOR NAGAR VILLAGE , DEFENCE COLONY, South East, Delhi-110065</t>
  </si>
  <si>
    <t>B-1/80 GROUND FLOOR NEW KONDLI, MAYUR VIHAR, Delhi-110096</t>
  </si>
  <si>
    <t>Shop No-40, Ground Floor, Sunder Vihar, Tonk Road, Durgapura, Jaipur, Rajasthan- 302018</t>
  </si>
  <si>
    <t>Shop No- 2, Ground Floor, Hawa Sadak, 7B Patel Nagar, Bais Godam, Jaipur, Rajasthan- 302006</t>
  </si>
  <si>
    <t>Shop No- 2, Ground Floor, Plot No E-854, Vaishali Nagar, Jaipur, Rajasthan- 302021</t>
  </si>
  <si>
    <t>SHOP NO.2, CH. SUKHPAL COMPLEX, VILLAGE ULHAWAS TEHSIL WAZIRABAD , Gurgaon, Haryana-122003</t>
  </si>
  <si>
    <t>GROUND FLOOR SHOP NO.7, VILLAGE-BADHA (SIKANDERPUR) , Gurgaon, Haryana-122004</t>
  </si>
  <si>
    <t>SHOP/PORTION NO.4 B4/1-2, GROUND FLOOR, SEC 11 ROHINI, NARELA, North, Delhi-110085</t>
  </si>
  <si>
    <t>SHOP NO.7 GROUND FLOOR BLOCK A-4, SHIV MARKET PASCHIM VIHAR , PATEL NAGAR West, Delhi-110063</t>
  </si>
  <si>
    <t>SHOP NO.2, C-BLOCK MARKET, ARDEE CITY, Gurgaon, Haryana-122003</t>
  </si>
  <si>
    <t>SHOP NO.8 GROUND FLOOR, H.NO.B-13, SEC-23, SANJAY NAGAR, Ghaziabad Nagar Nigam Zone-15, Ghaziabad, Uttar Pradesh-201002</t>
  </si>
  <si>
    <t>GROUND FLOOR SHOP NO.1, A-01, MAWASI COLONY, MADANPUR KHADAR, SARITA VIHAR, South East, Delhi-110076</t>
  </si>
  <si>
    <t>Booth No. 82, Phase VII, Industrial Focal Point, Mohali, SAS Nagar Punjab- 160062</t>
  </si>
  <si>
    <t>Ground Floor, Shop No- 48, Metro Plaza, Lohgarh Road, Zirakpur SAS Nagar Punjab- 140603</t>
  </si>
  <si>
    <t>Booth No. 54, Sector 16D, Chandigarh- 160015</t>
  </si>
  <si>
    <t>Plot No 361, Industrial Area Phase 1, Chandigarh- 160003</t>
  </si>
  <si>
    <t>Coordinates</t>
  </si>
  <si>
    <t>28.631104, 77.086174</t>
  </si>
  <si>
    <t>28.65901191, 77.28757508</t>
  </si>
  <si>
    <t>28.5493681, 77.2157363</t>
  </si>
  <si>
    <t>28.4736853, 77.0804432</t>
  </si>
  <si>
    <t>28.474595, 77.009898</t>
  </si>
  <si>
    <t>28.4200939, 77.0516226</t>
  </si>
  <si>
    <t>28.47774289, 77.51745525</t>
  </si>
  <si>
    <t>28.5554287, 77.3536438</t>
  </si>
  <si>
    <t>28.60013, 77.391105</t>
  </si>
  <si>
    <t>28.5058039, 77.4147043</t>
  </si>
  <si>
    <t>28.58797579, 77.07037377</t>
  </si>
  <si>
    <t>28.6487076, 77.19840479</t>
  </si>
  <si>
    <t>28.7061146, 77.1697058</t>
  </si>
  <si>
    <t>28.3954457, 77.3140114</t>
  </si>
  <si>
    <t>28.6580434, 77.3660934</t>
  </si>
  <si>
    <t>28.5161827, 77.1640606</t>
  </si>
  <si>
    <t>28.9604933, 77.7297993</t>
  </si>
  <si>
    <t>28.56802068, 77.44508744</t>
  </si>
  <si>
    <t>28.57145424, 77.270198</t>
  </si>
  <si>
    <t>28.60302001, 77.33063626</t>
  </si>
  <si>
    <t>26.84699193, 75.7947958</t>
  </si>
  <si>
    <t>26.901264, 75.7886963</t>
  </si>
  <si>
    <t>26.91090091, 75.74511333</t>
  </si>
  <si>
    <t>28.40625083, 77.09336507</t>
  </si>
  <si>
    <t>28.40329036, 76.94569643</t>
  </si>
  <si>
    <t>28.72886862, 77.1144921</t>
  </si>
  <si>
    <t>28.67128998, 77.11167358</t>
  </si>
  <si>
    <t>28.439808, 77.078088</t>
  </si>
  <si>
    <t>28.69541056, 77.45008841</t>
  </si>
  <si>
    <t>28.53718333, 77.29790312</t>
  </si>
  <si>
    <t>30.713882, 76.699167</t>
  </si>
  <si>
    <t>30.643296, 76.819715</t>
  </si>
  <si>
    <t>30.7481828, 76.7742775</t>
  </si>
  <si>
    <t>30.69619859, 76.80196083</t>
  </si>
  <si>
    <t>Dark Store</t>
  </si>
  <si>
    <t>Type</t>
  </si>
  <si>
    <t>Opening Date</t>
  </si>
  <si>
    <t>S No</t>
  </si>
  <si>
    <t>Location Name</t>
  </si>
  <si>
    <t>Store Type</t>
  </si>
  <si>
    <t>Date of Opening</t>
  </si>
  <si>
    <t>Area Sq Ft</t>
  </si>
  <si>
    <t>Rental Monthly</t>
  </si>
  <si>
    <t>SK-ND-Sector 67</t>
  </si>
  <si>
    <t>Spoke Kitchen</t>
  </si>
  <si>
    <t>A-37, Sector 67, Noida- 201301</t>
  </si>
  <si>
    <t>Same as mentioned in Central Kitchen</t>
  </si>
  <si>
    <t>SK-GGN-Sikanderpur</t>
  </si>
  <si>
    <t>SHOP NO.8, GROUND FLOOR, PLOT NO.8, SHIV CHOWK, RAJEEV NAGAR, Gurgaon, Haryana-122001</t>
  </si>
  <si>
    <t>As mentioned in Sk-DL-Janakpuri</t>
  </si>
  <si>
    <t>Sk-DL-Janakpuri</t>
  </si>
  <si>
    <t>BLOCK D UNIT NO.116 RODEO DRIVE MARKET, UNITECH ARCADIA-II SOUTH CITY-2 SECTOR-49 , Gurgaon, Haryana-122018</t>
  </si>
  <si>
    <t>Central Kitchen</t>
  </si>
  <si>
    <t>A 37 Sector 67 Noida</t>
  </si>
  <si>
    <t>SHOP NO.3 GF SECTOR-37C, NEAR HERITAGE BEDMINTAN ACADEMY , Gurgaon, Haryana-122001</t>
  </si>
  <si>
    <t>CC-GGN-Sector 52</t>
  </si>
  <si>
    <t>CC-FBD-Sector 37</t>
  </si>
  <si>
    <t>CC-GGN-Udyog Vihar</t>
  </si>
  <si>
    <t>CC-DL-Dwarka Mor</t>
  </si>
  <si>
    <t>CC-ND-Diamond Plaza</t>
  </si>
  <si>
    <t>CC-ND-Sector 116</t>
  </si>
  <si>
    <t>CC-JP-Pratap Nagar</t>
  </si>
  <si>
    <t>CC-LKO-Gomti Nagar</t>
  </si>
  <si>
    <t>CC-LKO-Jankipuram</t>
  </si>
  <si>
    <t>CC-LKO-Ashiyana</t>
  </si>
  <si>
    <t>CC-LKO-Hazratganj</t>
  </si>
  <si>
    <t>SHOP NO.03, AMAN COMPLEX, (NO.22-23), OLD SHER SHAH SURI MARG SARAI KHWAJA, DAYAL BAGH , Faridabad, Haryana-121003</t>
  </si>
  <si>
    <t>GROUND FLOOR, SHOP NO.1 PLOT NO.586, DUNDAHERA VILLAGE SEC-20, Gurgaon, Haryana-122201</t>
  </si>
  <si>
    <t>PLOT NO.E-10/41, OLD PLOT NO.10, PVT SHOP NO.2, BLOCK-E, NAWADA HOUSING COMPLEX, UTTAM NAGAR, DWARKA, Delhi-110059</t>
  </si>
  <si>
    <t>GROUND FLOOR SHOP UGC-28, GALAXY DIAMOND PLAZA, PLOT C 1A, SECTOR-4, NOIDA CITY ZONE-1, Gautam Buddha Nagar, Uttar Pradesh-201308</t>
  </si>
  <si>
    <t>GROUND FLOOR, SHOP NO.4, SECTOR-116, GATE NO.4 NOIDA, NOIDA CITY ZONE-4, Gautam Buddha Nagar, Uttar Pradesh-201301</t>
  </si>
  <si>
    <t>SHOP NO.193/SP/2/11, SECTOR-19, RHB, PRATAP NAGAR , SANGANER, Jaipur-II Ward 25, Jaipur, Rajasthan-302033</t>
  </si>
  <si>
    <t>SHOP AT VIBHUTI KHAND GROUND FLOOR PLOT NO. 2/142, GOMTI NAGAR, Nagar Nigam Food Safety Zone-14, Lucknow, Uttar Pradesh-206010</t>
  </si>
  <si>
    <t>GROUND FLOOR MMIG-35 , SEC-A SITAPUR ROAD, YOJNA JANKIPURAM ALI GANJ, Nagar Nigam Food Safety Zone-12, Lucknow, Uttar Pradesh-226021</t>
  </si>
  <si>
    <t>GROUND FLOOR SHOP NO.58, KHAZANA COMPLEX, SEC-K, ASHIYANA COLONEY, Nagar Nigam Food Safety Zone-18, Lucknow, Uttar Pradesh-206012</t>
  </si>
  <si>
    <t>GROUND FLOOR, SHOP NO.3, 43/16 NAWAL KISHOR ROAD, OPPOSITE LAXMI ICE FACTORY HAZARATGANJ, Nagar Nigam Food Safety Zone-2, Lucknow, Uttar Pradesh-226001</t>
  </si>
  <si>
    <t>City</t>
  </si>
  <si>
    <t>Delhi</t>
  </si>
  <si>
    <t>Gurgaon</t>
  </si>
  <si>
    <t>Noida</t>
  </si>
  <si>
    <t>Chandigarh</t>
  </si>
  <si>
    <t>Jaipur</t>
  </si>
  <si>
    <t>Faridabad</t>
  </si>
  <si>
    <t>Ghaziabad</t>
  </si>
  <si>
    <t>Meerut</t>
  </si>
  <si>
    <t>Lucknow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</si>
</sst>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Montserrat-Medium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Montserrat"/>
    </font>
    <font>
      <b/>
      <sz val="12"/>
      <color theme="1"/>
      <name val="Poppins"/>
    </font>
    <font>
      <sz val="12"/>
      <color theme="1"/>
      <name val="Poppins"/>
    </font>
    <font>
      <sz val="12"/>
      <color theme="1"/>
      <name val="Montserrat"/>
    </font>
    <font>
      <b/>
      <sz val="10"/>
      <color rgb="FF222222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5" fontId="6" fillId="0" borderId="0" xfId="0" applyNumberFormat="1" applyFont="1"/>
    <xf numFmtId="3" fontId="6" fillId="0" borderId="0" xfId="0" applyNumberFormat="1" applyFont="1"/>
    <xf numFmtId="0" fontId="7" fillId="0" borderId="0" xfId="0" applyFont="1"/>
    <xf numFmtId="14" fontId="1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71C0-7F39-AC46-8944-6678F71F9F94}">
  <dimension ref="A1:J48"/>
  <sheetViews>
    <sheetView tabSelected="1" topLeftCell="A11" workbookViewId="0">
      <selection activeCell="B12" sqref="B12"/>
    </sheetView>
  </sheetViews>
  <sheetFormatPr baseColWidth="10" defaultRowHeight="16"/>
  <cols>
    <col min="1" max="2" width="11.625" bestFit="1" customWidth="1"/>
    <col min="3" max="3" width="15.5" bestFit="1" customWidth="1"/>
    <col min="4" max="6" width="15.5" customWidth="1"/>
    <col min="7" max="7" width="83.25" bestFit="1" customWidth="1"/>
    <col min="8" max="8" width="21.5" bestFit="1" customWidth="1"/>
    <col min="10" max="10" width="30.125" bestFit="1" customWidth="1"/>
  </cols>
  <sheetData>
    <row r="1" spans="1:10" ht="19">
      <c r="A1" s="2" t="s">
        <v>0</v>
      </c>
      <c r="B1" s="2" t="s">
        <v>1</v>
      </c>
      <c r="C1" s="2" t="s">
        <v>2</v>
      </c>
      <c r="D1" s="2" t="s">
        <v>149</v>
      </c>
      <c r="E1" s="2" t="s">
        <v>108</v>
      </c>
      <c r="F1" s="2" t="s">
        <v>109</v>
      </c>
      <c r="G1" s="1" t="s">
        <v>37</v>
      </c>
      <c r="H1" s="1" t="s">
        <v>72</v>
      </c>
      <c r="I1" s="5" t="s">
        <v>114</v>
      </c>
      <c r="J1" s="6" t="s">
        <v>115</v>
      </c>
    </row>
    <row r="2" spans="1:10">
      <c r="A2" s="2">
        <v>30328</v>
      </c>
      <c r="B2" s="2">
        <v>306520</v>
      </c>
      <c r="C2" s="2" t="s">
        <v>9</v>
      </c>
      <c r="D2" s="2" t="s">
        <v>152</v>
      </c>
      <c r="E2" s="2" t="s">
        <v>107</v>
      </c>
      <c r="F2" s="11">
        <f>VLOOKUP(C2,Sheet2!$B$1:$G$39,4,FALSE)</f>
        <v>43101</v>
      </c>
      <c r="G2" s="4" t="s">
        <v>44</v>
      </c>
      <c r="H2" t="s">
        <v>79</v>
      </c>
      <c r="I2">
        <f>VLOOKUP(C2,Sheet2!$B$1:$G$39,5,FALSE)</f>
        <v>120</v>
      </c>
      <c r="J2">
        <f>VLOOKUP(C2,Sheet2!$B$1:$G$39,6,FALSE)</f>
        <v>21000</v>
      </c>
    </row>
    <row r="3" spans="1:10">
      <c r="A3" s="2">
        <v>149743</v>
      </c>
      <c r="B3" s="2">
        <v>18988513</v>
      </c>
      <c r="C3" s="2" t="s">
        <v>11</v>
      </c>
      <c r="D3" s="2" t="s">
        <v>152</v>
      </c>
      <c r="E3" s="2" t="s">
        <v>107</v>
      </c>
      <c r="F3" s="11">
        <f>VLOOKUP(C3,Sheet2!$B$1:$G$39,4,FALSE)</f>
        <v>43466</v>
      </c>
      <c r="G3" s="4" t="s">
        <v>46</v>
      </c>
      <c r="H3" t="s">
        <v>81</v>
      </c>
      <c r="I3">
        <f>VLOOKUP(C3,Sheet2!$B$1:$G$39,5,FALSE)</f>
        <v>160</v>
      </c>
      <c r="J3">
        <f>VLOOKUP(C3,Sheet2!$B$1:$G$39,6,FALSE)</f>
        <v>24200</v>
      </c>
    </row>
    <row r="4" spans="1:10">
      <c r="A4" s="2">
        <v>683556</v>
      </c>
      <c r="B4" s="2">
        <v>19561066</v>
      </c>
      <c r="C4" s="2" t="s">
        <v>7</v>
      </c>
      <c r="D4" s="2" t="s">
        <v>151</v>
      </c>
      <c r="E4" s="2" t="s">
        <v>107</v>
      </c>
      <c r="F4" s="11">
        <f>VLOOKUP(C4,Sheet2!$B$1:$G$39,4,FALSE)</f>
        <v>44531</v>
      </c>
      <c r="G4" s="4" t="s">
        <v>42</v>
      </c>
      <c r="H4" t="s">
        <v>77</v>
      </c>
      <c r="I4">
        <f>VLOOKUP(C4,Sheet2!$B$1:$G$39,5,FALSE)</f>
        <v>135</v>
      </c>
      <c r="J4">
        <f>VLOOKUP(C4,Sheet2!$B$1:$G$39,6,FALSE)</f>
        <v>14000</v>
      </c>
    </row>
    <row r="5" spans="1:10">
      <c r="A5" s="2">
        <v>846391</v>
      </c>
      <c r="B5" s="2">
        <v>21086662</v>
      </c>
      <c r="C5" s="2" t="s">
        <v>5</v>
      </c>
      <c r="D5" s="2" t="s">
        <v>150</v>
      </c>
      <c r="E5" s="2" t="s">
        <v>107</v>
      </c>
      <c r="F5" s="11">
        <f>VLOOKUP(C5,Sheet2!$B$1:$G$39,4,FALSE)</f>
        <v>45383</v>
      </c>
      <c r="G5" s="4" t="s">
        <v>40</v>
      </c>
      <c r="H5" t="s">
        <v>75</v>
      </c>
      <c r="I5">
        <f>VLOOKUP(C5,Sheet2!$B$1:$G$39,5,FALSE)</f>
        <v>120</v>
      </c>
      <c r="J5">
        <f>VLOOKUP(C5,Sheet2!$B$1:$G$39,6,FALSE)</f>
        <v>16000</v>
      </c>
    </row>
    <row r="6" spans="1:10">
      <c r="A6" s="2">
        <v>846389</v>
      </c>
      <c r="B6" s="2">
        <v>21086673</v>
      </c>
      <c r="C6" s="2" t="s">
        <v>3</v>
      </c>
      <c r="D6" s="2" t="s">
        <v>150</v>
      </c>
      <c r="E6" s="2" t="s">
        <v>107</v>
      </c>
      <c r="F6" s="11">
        <f>VLOOKUP(C6,Sheet2!$B$1:$G$39,4,FALSE)</f>
        <v>45383</v>
      </c>
      <c r="G6" s="4" t="s">
        <v>38</v>
      </c>
      <c r="H6" t="s">
        <v>73</v>
      </c>
      <c r="I6">
        <f>VLOOKUP(C6,Sheet2!$B$1:$G$39,5,FALSE)</f>
        <v>150</v>
      </c>
      <c r="J6" t="str">
        <f>VLOOKUP(C6,Sheet2!$B$1:$G$39,6,FALSE)</f>
        <v>As mentioned in Sk-DL-Janakpuri</v>
      </c>
    </row>
    <row r="7" spans="1:10">
      <c r="A7" s="2">
        <v>906777</v>
      </c>
      <c r="B7" s="2">
        <v>21251869</v>
      </c>
      <c r="C7" s="2" t="s">
        <v>4</v>
      </c>
      <c r="D7" s="2" t="s">
        <v>150</v>
      </c>
      <c r="E7" s="2" t="s">
        <v>107</v>
      </c>
      <c r="F7" s="11">
        <f>VLOOKUP(C7,Sheet2!$B$1:$G$39,4,FALSE)</f>
        <v>45462</v>
      </c>
      <c r="G7" s="4" t="s">
        <v>39</v>
      </c>
      <c r="H7" t="s">
        <v>74</v>
      </c>
      <c r="I7">
        <f>VLOOKUP(C7,Sheet2!$B$1:$G$39,5,FALSE)</f>
        <v>140</v>
      </c>
      <c r="J7">
        <f>VLOOKUP(C7,Sheet2!$B$1:$G$39,6,FALSE)</f>
        <v>16500</v>
      </c>
    </row>
    <row r="8" spans="1:10">
      <c r="A8" s="2">
        <v>911775</v>
      </c>
      <c r="B8" s="2">
        <v>21264282</v>
      </c>
      <c r="C8" s="2" t="s">
        <v>6</v>
      </c>
      <c r="D8" s="2" t="s">
        <v>151</v>
      </c>
      <c r="E8" s="2" t="s">
        <v>107</v>
      </c>
      <c r="F8" s="11">
        <f>VLOOKUP(C8,Sheet2!$B$1:$G$39,4,FALSE)</f>
        <v>45471</v>
      </c>
      <c r="G8" s="4" t="s">
        <v>41</v>
      </c>
      <c r="H8" t="s">
        <v>76</v>
      </c>
      <c r="I8">
        <f>VLOOKUP(C8,Sheet2!$B$1:$G$39,5,FALSE)</f>
        <v>120</v>
      </c>
      <c r="J8">
        <f>VLOOKUP(C8,Sheet2!$B$1:$G$39,6,FALSE)</f>
        <v>13200</v>
      </c>
    </row>
    <row r="9" spans="1:10">
      <c r="A9" s="2">
        <v>943239</v>
      </c>
      <c r="B9" s="2">
        <v>21308818</v>
      </c>
      <c r="C9" s="2" t="s">
        <v>8</v>
      </c>
      <c r="D9" s="2" t="s">
        <v>151</v>
      </c>
      <c r="E9" s="2" t="s">
        <v>107</v>
      </c>
      <c r="F9" s="11">
        <f>VLOOKUP(C9,Sheet2!$B$1:$G$39,4,FALSE)</f>
        <v>45494</v>
      </c>
      <c r="G9" s="4" t="s">
        <v>43</v>
      </c>
      <c r="H9" t="s">
        <v>78</v>
      </c>
      <c r="I9">
        <f>VLOOKUP(C9,Sheet2!$B$1:$G$39,5,FALSE)</f>
        <v>140</v>
      </c>
      <c r="J9">
        <f>VLOOKUP(C9,Sheet2!$B$1:$G$39,6,FALSE)</f>
        <v>27500</v>
      </c>
    </row>
    <row r="10" spans="1:10">
      <c r="A10" s="2">
        <v>943240</v>
      </c>
      <c r="B10" s="2">
        <v>21317808</v>
      </c>
      <c r="C10" s="2" t="s">
        <v>10</v>
      </c>
      <c r="D10" s="2" t="s">
        <v>152</v>
      </c>
      <c r="E10" s="2" t="s">
        <v>107</v>
      </c>
      <c r="F10" s="11">
        <f>VLOOKUP(C10,Sheet2!$B$1:$G$39,4,FALSE)</f>
        <v>45492</v>
      </c>
      <c r="G10" s="4" t="s">
        <v>45</v>
      </c>
      <c r="H10" t="s">
        <v>80</v>
      </c>
      <c r="I10">
        <f>VLOOKUP(C10,Sheet2!$B$1:$G$39,5,FALSE)</f>
        <v>150</v>
      </c>
      <c r="J10">
        <f>VLOOKUP(C10,Sheet2!$B$1:$G$39,6,FALSE)</f>
        <v>16000</v>
      </c>
    </row>
    <row r="11" spans="1:10">
      <c r="A11" s="2">
        <v>943241</v>
      </c>
      <c r="B11" s="2">
        <v>21317826</v>
      </c>
      <c r="C11" s="2" t="s">
        <v>12</v>
      </c>
      <c r="D11" s="2" t="s">
        <v>152</v>
      </c>
      <c r="E11" s="2" t="s">
        <v>107</v>
      </c>
      <c r="F11" s="11">
        <f>VLOOKUP(C11,Sheet2!$B$1:$G$39,4,FALSE)</f>
        <v>45621</v>
      </c>
      <c r="G11" s="4" t="s">
        <v>47</v>
      </c>
      <c r="H11" t="s">
        <v>82</v>
      </c>
      <c r="I11">
        <f>VLOOKUP(C11,Sheet2!$B$1:$G$39,5,FALSE)</f>
        <v>140</v>
      </c>
      <c r="J11">
        <f>VLOOKUP(C11,Sheet2!$B$1:$G$39,6,FALSE)</f>
        <v>14850</v>
      </c>
    </row>
    <row r="12" spans="1:10">
      <c r="A12" s="2">
        <v>1039227</v>
      </c>
      <c r="B12" s="2">
        <v>21710105</v>
      </c>
      <c r="C12" s="2" t="s">
        <v>15</v>
      </c>
      <c r="D12" s="2" t="s">
        <v>150</v>
      </c>
      <c r="E12" s="2" t="s">
        <v>107</v>
      </c>
      <c r="F12" s="11">
        <f>VLOOKUP(C12,Sheet2!$B$1:$G$39,4,FALSE)</f>
        <v>45703</v>
      </c>
      <c r="G12" s="4" t="s">
        <v>50</v>
      </c>
      <c r="H12" t="s">
        <v>85</v>
      </c>
      <c r="I12">
        <f>VLOOKUP(C12,Sheet2!$B$1:$G$39,5,FALSE)</f>
        <v>180</v>
      </c>
      <c r="J12">
        <f>VLOOKUP(C12,Sheet2!$B$1:$G$39,6,FALSE)</f>
        <v>22500</v>
      </c>
    </row>
    <row r="13" spans="1:10">
      <c r="A13" s="2">
        <v>1039224</v>
      </c>
      <c r="B13" s="2">
        <v>21710125</v>
      </c>
      <c r="C13" s="2" t="s">
        <v>14</v>
      </c>
      <c r="D13" s="2" t="s">
        <v>150</v>
      </c>
      <c r="E13" s="2" t="s">
        <v>107</v>
      </c>
      <c r="F13" s="11">
        <f>VLOOKUP(C13,Sheet2!$B$1:$G$39,4,FALSE)</f>
        <v>45703</v>
      </c>
      <c r="G13" s="4" t="s">
        <v>49</v>
      </c>
      <c r="H13" t="s">
        <v>84</v>
      </c>
      <c r="I13">
        <f>VLOOKUP(C13,Sheet2!$B$1:$G$39,5,FALSE)</f>
        <v>120</v>
      </c>
      <c r="J13">
        <f>VLOOKUP(C13,Sheet2!$B$1:$G$39,6,FALSE)</f>
        <v>18000</v>
      </c>
    </row>
    <row r="14" spans="1:10">
      <c r="A14" s="2">
        <v>1043491</v>
      </c>
      <c r="B14" s="2">
        <v>21710140</v>
      </c>
      <c r="C14" s="2" t="s">
        <v>13</v>
      </c>
      <c r="D14" s="2" t="s">
        <v>150</v>
      </c>
      <c r="E14" s="2" t="s">
        <v>107</v>
      </c>
      <c r="F14" s="11">
        <f>VLOOKUP(C14,Sheet2!$B$1:$G$39,4,FALSE)</f>
        <v>45702</v>
      </c>
      <c r="G14" s="4" t="s">
        <v>48</v>
      </c>
      <c r="H14" t="s">
        <v>83</v>
      </c>
      <c r="I14">
        <f>VLOOKUP(C14,Sheet2!$B$1:$G$39,5,FALSE)</f>
        <v>150</v>
      </c>
      <c r="J14">
        <f>VLOOKUP(C14,Sheet2!$B$1:$G$39,6,FALSE)</f>
        <v>18000</v>
      </c>
    </row>
    <row r="15" spans="1:10">
      <c r="A15" s="2">
        <v>1073851</v>
      </c>
      <c r="B15" s="2">
        <v>21803038</v>
      </c>
      <c r="C15" s="2" t="s">
        <v>16</v>
      </c>
      <c r="D15" s="2" t="s">
        <v>155</v>
      </c>
      <c r="E15" s="2" t="s">
        <v>107</v>
      </c>
      <c r="F15" s="11">
        <f>VLOOKUP(C15,Sheet2!$B$1:$G$39,4,FALSE)</f>
        <v>45741</v>
      </c>
      <c r="G15" s="4" t="s">
        <v>51</v>
      </c>
      <c r="H15" t="s">
        <v>86</v>
      </c>
      <c r="I15">
        <f>VLOOKUP(C15,Sheet2!$B$1:$G$39,5,FALSE)</f>
        <v>120</v>
      </c>
      <c r="J15">
        <f>VLOOKUP(C15,Sheet2!$B$1:$G$39,6,FALSE)</f>
        <v>15000</v>
      </c>
    </row>
    <row r="16" spans="1:10">
      <c r="A16" s="2">
        <v>1073861</v>
      </c>
      <c r="B16" s="2">
        <v>21804504</v>
      </c>
      <c r="C16" s="2" t="s">
        <v>17</v>
      </c>
      <c r="D16" s="2" t="s">
        <v>156</v>
      </c>
      <c r="E16" s="2" t="s">
        <v>107</v>
      </c>
      <c r="F16" s="11">
        <f>VLOOKUP(C16,Sheet2!$B$1:$G$39,4,FALSE)</f>
        <v>45741</v>
      </c>
      <c r="G16" s="4" t="s">
        <v>52</v>
      </c>
      <c r="H16" t="s">
        <v>87</v>
      </c>
      <c r="I16">
        <f>VLOOKUP(C16,Sheet2!$B$1:$G$39,5,FALSE)</f>
        <v>120</v>
      </c>
      <c r="J16">
        <f>VLOOKUP(C16,Sheet2!$B$1:$G$39,6,FALSE)</f>
        <v>14000</v>
      </c>
    </row>
    <row r="17" spans="1:10">
      <c r="A17" s="2">
        <v>1073857</v>
      </c>
      <c r="B17" s="2">
        <v>21817822</v>
      </c>
      <c r="C17" s="2" t="s">
        <v>18</v>
      </c>
      <c r="D17" s="2" t="s">
        <v>150</v>
      </c>
      <c r="E17" s="2" t="s">
        <v>107</v>
      </c>
      <c r="F17" s="11">
        <f>VLOOKUP(C17,Sheet2!$B$1:$G$39,4,FALSE)</f>
        <v>45749</v>
      </c>
      <c r="G17" s="4" t="s">
        <v>53</v>
      </c>
      <c r="H17" t="s">
        <v>88</v>
      </c>
      <c r="I17">
        <f>VLOOKUP(C17,Sheet2!$B$1:$G$39,5,FALSE)</f>
        <v>150</v>
      </c>
      <c r="J17">
        <f>VLOOKUP(C17,Sheet2!$B$1:$G$39,6,FALSE)</f>
        <v>25500</v>
      </c>
    </row>
    <row r="18" spans="1:10">
      <c r="A18" s="2">
        <v>1097958</v>
      </c>
      <c r="B18" s="2">
        <v>21876814</v>
      </c>
      <c r="C18" s="2" t="s">
        <v>19</v>
      </c>
      <c r="D18" s="2" t="s">
        <v>157</v>
      </c>
      <c r="E18" s="2" t="s">
        <v>107</v>
      </c>
      <c r="F18" s="11">
        <f>VLOOKUP(C18,Sheet2!$B$1:$G$39,4,FALSE)</f>
        <v>45776</v>
      </c>
      <c r="G18" s="4" t="s">
        <v>54</v>
      </c>
      <c r="H18" t="s">
        <v>89</v>
      </c>
      <c r="I18">
        <f>VLOOKUP(C18,Sheet2!$B$1:$G$39,5,FALSE)</f>
        <v>150</v>
      </c>
      <c r="J18">
        <f>VLOOKUP(C18,Sheet2!$B$1:$G$39,6,FALSE)</f>
        <v>18000</v>
      </c>
    </row>
    <row r="19" spans="1:10">
      <c r="A19" s="2">
        <v>1116151</v>
      </c>
      <c r="B19" s="2">
        <v>21961204</v>
      </c>
      <c r="C19" s="2" t="s">
        <v>20</v>
      </c>
      <c r="D19" s="2" t="s">
        <v>152</v>
      </c>
      <c r="E19" s="2" t="s">
        <v>107</v>
      </c>
      <c r="F19" s="11">
        <f>VLOOKUP(C19,Sheet2!$B$1:$G$39,4,FALSE)</f>
        <v>45818</v>
      </c>
      <c r="G19" s="4" t="s">
        <v>55</v>
      </c>
      <c r="H19" t="s">
        <v>90</v>
      </c>
      <c r="I19">
        <f>VLOOKUP(C19,Sheet2!$B$1:$G$39,5,FALSE)</f>
        <v>150</v>
      </c>
      <c r="J19">
        <f>VLOOKUP(C19,Sheet2!$B$1:$G$39,6,FALSE)</f>
        <v>20000</v>
      </c>
    </row>
    <row r="20" spans="1:10">
      <c r="A20" s="2">
        <v>1125863</v>
      </c>
      <c r="B20" s="2">
        <v>21969690</v>
      </c>
      <c r="C20" s="2" t="s">
        <v>21</v>
      </c>
      <c r="D20" s="2" t="s">
        <v>150</v>
      </c>
      <c r="E20" s="2" t="s">
        <v>107</v>
      </c>
      <c r="F20" s="11">
        <f>VLOOKUP(C20,Sheet2!$B$1:$G$39,4,FALSE)</f>
        <v>45822</v>
      </c>
      <c r="G20" s="4" t="s">
        <v>56</v>
      </c>
      <c r="H20" t="s">
        <v>91</v>
      </c>
      <c r="I20">
        <f>VLOOKUP(C20,Sheet2!$B$1:$G$39,5,FALSE)</f>
        <v>140</v>
      </c>
      <c r="J20">
        <f>VLOOKUP(C20,Sheet2!$B$1:$G$39,6,FALSE)</f>
        <v>18000</v>
      </c>
    </row>
    <row r="21" spans="1:10">
      <c r="A21" s="2">
        <v>1137031</v>
      </c>
      <c r="B21" s="2">
        <v>22002105</v>
      </c>
      <c r="C21" s="2" t="s">
        <v>22</v>
      </c>
      <c r="D21" s="2" t="s">
        <v>150</v>
      </c>
      <c r="E21" s="2" t="s">
        <v>107</v>
      </c>
      <c r="F21" s="11">
        <f>VLOOKUP(C21,Sheet2!$B$1:$G$39,4,FALSE)</f>
        <v>45841</v>
      </c>
      <c r="G21" s="4" t="s">
        <v>57</v>
      </c>
      <c r="H21" t="s">
        <v>92</v>
      </c>
      <c r="I21">
        <f>VLOOKUP(C21,Sheet2!$B$1:$G$39,5,FALSE)</f>
        <v>200</v>
      </c>
      <c r="J21">
        <f>VLOOKUP(C21,Sheet2!$B$1:$G$39,6,FALSE)</f>
        <v>19000</v>
      </c>
    </row>
    <row r="22" spans="1:10">
      <c r="A22" s="2">
        <v>1154826</v>
      </c>
      <c r="B22" s="2">
        <v>22065804</v>
      </c>
      <c r="C22" s="3" t="s">
        <v>23</v>
      </c>
      <c r="D22" s="3" t="s">
        <v>154</v>
      </c>
      <c r="E22" s="2" t="s">
        <v>107</v>
      </c>
      <c r="F22" s="11">
        <f>VLOOKUP(C22,Sheet2!$B$1:$G$39,4,FALSE)</f>
        <v>45867</v>
      </c>
      <c r="G22" s="4" t="s">
        <v>58</v>
      </c>
      <c r="H22" t="s">
        <v>93</v>
      </c>
      <c r="I22">
        <f>VLOOKUP(C22,Sheet2!$B$1:$G$39,5,FALSE)</f>
        <v>200</v>
      </c>
      <c r="J22">
        <f>VLOOKUP(C22,Sheet2!$B$1:$G$39,6,FALSE)</f>
        <v>20000</v>
      </c>
    </row>
    <row r="23" spans="1:10">
      <c r="A23" s="2">
        <v>1154827</v>
      </c>
      <c r="B23" s="2">
        <v>22065805</v>
      </c>
      <c r="C23" s="3" t="s">
        <v>24</v>
      </c>
      <c r="D23" s="3" t="s">
        <v>154</v>
      </c>
      <c r="E23" s="2" t="s">
        <v>107</v>
      </c>
      <c r="F23" s="11">
        <f>VLOOKUP(C23,Sheet2!$B$1:$G$39,4,FALSE)</f>
        <v>45867</v>
      </c>
      <c r="G23" s="4" t="s">
        <v>59</v>
      </c>
      <c r="H23" t="s">
        <v>94</v>
      </c>
      <c r="I23">
        <f>VLOOKUP(C23,Sheet2!$B$1:$G$39,5,FALSE)</f>
        <v>140</v>
      </c>
      <c r="J23">
        <f>VLOOKUP(C23,Sheet2!$B$1:$G$39,6,FALSE)</f>
        <v>12000</v>
      </c>
    </row>
    <row r="24" spans="1:10">
      <c r="A24" s="2">
        <v>1154828</v>
      </c>
      <c r="B24" s="2">
        <v>22065806</v>
      </c>
      <c r="C24" s="3" t="s">
        <v>25</v>
      </c>
      <c r="D24" s="3" t="s">
        <v>154</v>
      </c>
      <c r="E24" s="2" t="s">
        <v>107</v>
      </c>
      <c r="F24" s="11">
        <f>VLOOKUP(C24,Sheet2!$B$1:$G$39,4,FALSE)</f>
        <v>45867</v>
      </c>
      <c r="G24" s="4" t="s">
        <v>60</v>
      </c>
      <c r="H24" t="s">
        <v>95</v>
      </c>
      <c r="I24">
        <f>VLOOKUP(C24,Sheet2!$B$1:$G$39,5,FALSE)</f>
        <v>120</v>
      </c>
      <c r="J24">
        <f>VLOOKUP(C24,Sheet2!$B$1:$G$39,6,FALSE)</f>
        <v>11000</v>
      </c>
    </row>
    <row r="25" spans="1:10">
      <c r="A25" s="2">
        <v>1196862</v>
      </c>
      <c r="B25" s="2">
        <v>22181929</v>
      </c>
      <c r="C25" s="3" t="s">
        <v>26</v>
      </c>
      <c r="D25" s="2" t="s">
        <v>151</v>
      </c>
      <c r="E25" s="2" t="s">
        <v>107</v>
      </c>
      <c r="F25" s="11">
        <f>VLOOKUP(C25,Sheet2!$B$1:$G$39,4,FALSE)</f>
        <v>45918</v>
      </c>
      <c r="G25" s="4" t="s">
        <v>61</v>
      </c>
      <c r="H25" t="s">
        <v>96</v>
      </c>
      <c r="I25">
        <f>VLOOKUP(C25,Sheet2!$B$1:$G$39,5,FALSE)</f>
        <v>130</v>
      </c>
      <c r="J25">
        <f>VLOOKUP(C25,Sheet2!$B$1:$G$39,6,FALSE)</f>
        <v>8500</v>
      </c>
    </row>
    <row r="26" spans="1:10">
      <c r="A26" s="2">
        <v>1195553</v>
      </c>
      <c r="B26" s="2">
        <v>22184428</v>
      </c>
      <c r="C26" s="3" t="s">
        <v>29</v>
      </c>
      <c r="D26" s="2" t="s">
        <v>150</v>
      </c>
      <c r="E26" s="2" t="s">
        <v>107</v>
      </c>
      <c r="F26" s="11">
        <f>VLOOKUP(C26,Sheet2!$B$1:$G$39,4,FALSE)</f>
        <v>45923</v>
      </c>
      <c r="G26" s="4" t="s">
        <v>64</v>
      </c>
      <c r="H26" t="s">
        <v>99</v>
      </c>
      <c r="I26">
        <f>VLOOKUP(C26,Sheet2!$B$1:$G$39,5,FALSE)</f>
        <v>140</v>
      </c>
      <c r="J26">
        <f>VLOOKUP(C26,Sheet2!$B$1:$G$39,6,FALSE)</f>
        <v>28000</v>
      </c>
    </row>
    <row r="27" spans="1:10">
      <c r="A27" s="2">
        <v>1197717</v>
      </c>
      <c r="B27" s="2">
        <v>22184663</v>
      </c>
      <c r="C27" s="3" t="s">
        <v>28</v>
      </c>
      <c r="D27" s="2" t="s">
        <v>150</v>
      </c>
      <c r="E27" s="2" t="s">
        <v>107</v>
      </c>
      <c r="F27" s="11">
        <f>VLOOKUP(C27,Sheet2!$B$1:$G$39,4,FALSE)</f>
        <v>45919</v>
      </c>
      <c r="G27" s="4" t="s">
        <v>63</v>
      </c>
      <c r="H27" t="s">
        <v>98</v>
      </c>
      <c r="I27">
        <f>VLOOKUP(C27,Sheet2!$B$1:$G$39,5,FALSE)</f>
        <v>120</v>
      </c>
      <c r="J27">
        <f>VLOOKUP(C27,Sheet2!$B$1:$G$39,6,FALSE)</f>
        <v>20000</v>
      </c>
    </row>
    <row r="28" spans="1:10">
      <c r="A28" s="2">
        <v>1217885</v>
      </c>
      <c r="B28" s="2">
        <v>22213649</v>
      </c>
      <c r="C28" s="3" t="s">
        <v>27</v>
      </c>
      <c r="D28" s="2" t="s">
        <v>151</v>
      </c>
      <c r="E28" s="2" t="s">
        <v>107</v>
      </c>
      <c r="F28" s="11">
        <f>VLOOKUP(C28,Sheet2!$B$1:$G$39,4,FALSE)</f>
        <v>45932</v>
      </c>
      <c r="G28" s="4" t="s">
        <v>62</v>
      </c>
      <c r="H28" t="s">
        <v>97</v>
      </c>
      <c r="I28">
        <f>VLOOKUP(C28,Sheet2!$B$1:$G$39,5,FALSE)</f>
        <v>140</v>
      </c>
      <c r="J28">
        <f>VLOOKUP(C28,Sheet2!$B$1:$G$39,6,FALSE)</f>
        <v>13500</v>
      </c>
    </row>
    <row r="29" spans="1:10">
      <c r="A29" s="2">
        <v>1217886</v>
      </c>
      <c r="B29" s="2">
        <v>22215422</v>
      </c>
      <c r="C29" s="3" t="s">
        <v>128</v>
      </c>
      <c r="D29" s="2" t="s">
        <v>151</v>
      </c>
      <c r="E29" s="2" t="s">
        <v>107</v>
      </c>
      <c r="F29" s="11" t="e">
        <f>VLOOKUP(C29,Sheet2!$B$1:$G$39,4,FALSE)</f>
        <v>#N/A</v>
      </c>
      <c r="G29" s="4" t="s">
        <v>65</v>
      </c>
      <c r="H29" t="s">
        <v>100</v>
      </c>
      <c r="I29" t="e">
        <f>VLOOKUP(C29,Sheet2!$B$1:$G$39,5,FALSE)</f>
        <v>#N/A</v>
      </c>
      <c r="J29" t="e">
        <f>VLOOKUP(C29,Sheet2!$B$1:$G$39,6,FALSE)</f>
        <v>#N/A</v>
      </c>
    </row>
    <row r="30" spans="1:10">
      <c r="A30" s="2">
        <v>1222284</v>
      </c>
      <c r="B30" s="2">
        <v>22223494</v>
      </c>
      <c r="C30" s="3" t="s">
        <v>31</v>
      </c>
      <c r="D30" s="2" t="s">
        <v>156</v>
      </c>
      <c r="E30" s="2" t="s">
        <v>107</v>
      </c>
      <c r="F30" s="11">
        <f>VLOOKUP(C30,Sheet2!$B$1:$G$39,4,FALSE)</f>
        <v>45938</v>
      </c>
      <c r="G30" s="4" t="s">
        <v>66</v>
      </c>
      <c r="H30" t="s">
        <v>101</v>
      </c>
      <c r="I30">
        <f>VLOOKUP(C30,Sheet2!$B$1:$G$39,5,FALSE)</f>
        <v>140</v>
      </c>
      <c r="J30">
        <f>VLOOKUP(C30,Sheet2!$B$1:$G$39,6,FALSE)</f>
        <v>8600</v>
      </c>
    </row>
    <row r="31" spans="1:10">
      <c r="A31" s="2">
        <v>1223288</v>
      </c>
      <c r="B31" s="2">
        <v>22230746</v>
      </c>
      <c r="C31" s="3" t="s">
        <v>32</v>
      </c>
      <c r="D31" s="2" t="s">
        <v>150</v>
      </c>
      <c r="E31" s="2" t="s">
        <v>107</v>
      </c>
      <c r="F31" s="11">
        <f>VLOOKUP(C31,Sheet2!$B$1:$G$39,4,FALSE)</f>
        <v>45940</v>
      </c>
      <c r="G31" s="4" t="s">
        <v>67</v>
      </c>
      <c r="H31" t="s">
        <v>102</v>
      </c>
      <c r="I31">
        <f>VLOOKUP(C31,Sheet2!$B$1:$G$39,5,FALSE)</f>
        <v>140</v>
      </c>
      <c r="J31">
        <f>VLOOKUP(C31,Sheet2!$B$1:$G$39,6,FALSE)</f>
        <v>14000</v>
      </c>
    </row>
    <row r="32" spans="1:10">
      <c r="A32" s="2">
        <v>1273974</v>
      </c>
      <c r="B32" s="2">
        <v>22375516</v>
      </c>
      <c r="C32" s="3" t="s">
        <v>33</v>
      </c>
      <c r="D32" s="3" t="s">
        <v>153</v>
      </c>
      <c r="E32" s="2" t="s">
        <v>107</v>
      </c>
      <c r="F32" s="11">
        <f>VLOOKUP(C32,Sheet2!$B$1:$G$39,4,FALSE)</f>
        <v>46004</v>
      </c>
      <c r="G32" s="4" t="s">
        <v>68</v>
      </c>
      <c r="H32" t="s">
        <v>103</v>
      </c>
      <c r="I32">
        <f>VLOOKUP(C32,Sheet2!$B$1:$G$39,5,FALSE)</f>
        <v>120</v>
      </c>
      <c r="J32">
        <f>VLOOKUP(C32,Sheet2!$B$1:$G$39,6,FALSE)</f>
        <v>30000</v>
      </c>
    </row>
    <row r="33" spans="1:10">
      <c r="A33" s="2">
        <v>1273975</v>
      </c>
      <c r="B33" s="2">
        <v>22375520</v>
      </c>
      <c r="C33" s="3" t="s">
        <v>34</v>
      </c>
      <c r="D33" s="3" t="s">
        <v>153</v>
      </c>
      <c r="E33" s="2" t="s">
        <v>107</v>
      </c>
      <c r="F33" s="11">
        <f>VLOOKUP(C33,Sheet2!$B$1:$G$39,4,FALSE)</f>
        <v>46004</v>
      </c>
      <c r="G33" s="4" t="s">
        <v>69</v>
      </c>
      <c r="H33" t="s">
        <v>104</v>
      </c>
      <c r="I33">
        <f>VLOOKUP(C33,Sheet2!$B$1:$G$39,5,FALSE)</f>
        <v>140</v>
      </c>
      <c r="J33">
        <f>VLOOKUP(C33,Sheet2!$B$1:$G$39,6,FALSE)</f>
        <v>15000</v>
      </c>
    </row>
    <row r="34" spans="1:10">
      <c r="A34" s="2">
        <v>1289155</v>
      </c>
      <c r="B34" s="2">
        <v>22407186</v>
      </c>
      <c r="C34" s="3" t="s">
        <v>36</v>
      </c>
      <c r="D34" s="3" t="s">
        <v>153</v>
      </c>
      <c r="E34" s="2" t="s">
        <v>107</v>
      </c>
      <c r="F34" s="11">
        <f>VLOOKUP(C34,Sheet2!$B$1:$G$39,4,FALSE)</f>
        <v>46013</v>
      </c>
      <c r="G34" s="4" t="s">
        <v>71</v>
      </c>
      <c r="H34" t="s">
        <v>106</v>
      </c>
      <c r="I34">
        <f>VLOOKUP(C34,Sheet2!$B$1:$G$39,5,FALSE)</f>
        <v>140</v>
      </c>
      <c r="J34">
        <f>VLOOKUP(C34,Sheet2!$B$1:$G$39,6,FALSE)</f>
        <v>27000</v>
      </c>
    </row>
    <row r="35" spans="1:10">
      <c r="A35" s="2">
        <v>1302503</v>
      </c>
      <c r="B35" s="2">
        <v>22449679</v>
      </c>
      <c r="C35" s="3" t="s">
        <v>35</v>
      </c>
      <c r="D35" s="3" t="s">
        <v>153</v>
      </c>
      <c r="E35" s="2" t="s">
        <v>107</v>
      </c>
      <c r="F35" s="11">
        <f>VLOOKUP(C35,Sheet2!$B$1:$G$39,4,FALSE)</f>
        <v>46029</v>
      </c>
      <c r="G35" s="4" t="s">
        <v>70</v>
      </c>
      <c r="H35" t="s">
        <v>105</v>
      </c>
      <c r="I35">
        <f>VLOOKUP(C35,Sheet2!$B$1:$G$39,5,FALSE)</f>
        <v>120</v>
      </c>
      <c r="J35">
        <f>VLOOKUP(C35,Sheet2!$B$1:$G$39,6,FALSE)</f>
        <v>40000</v>
      </c>
    </row>
    <row r="36" spans="1:10">
      <c r="A36" s="12">
        <v>1322819</v>
      </c>
      <c r="B36" s="12">
        <v>22521001</v>
      </c>
      <c r="C36" s="1" t="s">
        <v>129</v>
      </c>
      <c r="D36" s="2" t="s">
        <v>155</v>
      </c>
      <c r="E36" s="2" t="s">
        <v>107</v>
      </c>
      <c r="F36" s="11">
        <v>45698</v>
      </c>
      <c r="G36" s="13" t="s">
        <v>139</v>
      </c>
    </row>
    <row r="37" spans="1:10">
      <c r="A37" s="12">
        <v>1322820</v>
      </c>
      <c r="B37" s="12">
        <v>22521042</v>
      </c>
      <c r="C37" s="1" t="s">
        <v>130</v>
      </c>
      <c r="D37" s="2" t="s">
        <v>151</v>
      </c>
      <c r="E37" s="2" t="s">
        <v>107</v>
      </c>
      <c r="F37" s="11">
        <v>45698</v>
      </c>
      <c r="G37" s="13" t="s">
        <v>140</v>
      </c>
    </row>
    <row r="38" spans="1:10">
      <c r="A38" s="12">
        <v>1328206</v>
      </c>
      <c r="B38" s="12">
        <v>22531033</v>
      </c>
      <c r="C38" s="1" t="s">
        <v>131</v>
      </c>
      <c r="D38" s="2" t="s">
        <v>150</v>
      </c>
      <c r="E38" s="2" t="s">
        <v>107</v>
      </c>
      <c r="F38" s="11">
        <v>45701</v>
      </c>
      <c r="G38" s="13" t="s">
        <v>141</v>
      </c>
    </row>
    <row r="39" spans="1:10">
      <c r="A39" s="12">
        <v>1328207</v>
      </c>
      <c r="B39" s="12">
        <v>22531048</v>
      </c>
      <c r="C39" s="1" t="s">
        <v>132</v>
      </c>
      <c r="D39" s="2" t="s">
        <v>152</v>
      </c>
      <c r="E39" s="2" t="s">
        <v>107</v>
      </c>
      <c r="F39" s="11">
        <v>45701</v>
      </c>
      <c r="G39" s="13" t="s">
        <v>142</v>
      </c>
    </row>
    <row r="40" spans="1:10">
      <c r="A40" s="12">
        <v>1328393</v>
      </c>
      <c r="B40" s="12">
        <v>22531070</v>
      </c>
      <c r="C40" s="1" t="s">
        <v>133</v>
      </c>
      <c r="D40" s="2" t="s">
        <v>152</v>
      </c>
      <c r="E40" s="2" t="s">
        <v>107</v>
      </c>
      <c r="F40" s="11">
        <v>45701</v>
      </c>
      <c r="G40" s="13" t="s">
        <v>143</v>
      </c>
    </row>
    <row r="41" spans="1:10">
      <c r="A41" s="12">
        <v>1328212</v>
      </c>
      <c r="B41" s="12">
        <v>22531082</v>
      </c>
      <c r="C41" s="1" t="s">
        <v>134</v>
      </c>
      <c r="D41" s="3" t="s">
        <v>154</v>
      </c>
      <c r="E41" s="2" t="s">
        <v>107</v>
      </c>
      <c r="F41" s="11">
        <v>45701</v>
      </c>
      <c r="G41" s="13" t="s">
        <v>144</v>
      </c>
    </row>
    <row r="42" spans="1:10">
      <c r="A42" s="12">
        <v>1331673</v>
      </c>
      <c r="B42" s="12">
        <v>22543455</v>
      </c>
      <c r="C42" s="1" t="s">
        <v>136</v>
      </c>
      <c r="D42" s="1" t="s">
        <v>158</v>
      </c>
      <c r="E42" s="2" t="s">
        <v>107</v>
      </c>
      <c r="F42" s="11">
        <v>45712</v>
      </c>
      <c r="G42" s="13" t="s">
        <v>146</v>
      </c>
    </row>
    <row r="43" spans="1:10">
      <c r="A43" s="12">
        <v>1331674</v>
      </c>
      <c r="B43" s="12">
        <v>22543471</v>
      </c>
      <c r="C43" s="1" t="s">
        <v>137</v>
      </c>
      <c r="D43" s="1" t="s">
        <v>158</v>
      </c>
      <c r="E43" s="2" t="s">
        <v>107</v>
      </c>
      <c r="F43" s="11">
        <v>45712</v>
      </c>
      <c r="G43" s="13" t="s">
        <v>147</v>
      </c>
    </row>
    <row r="44" spans="1:10">
      <c r="A44" s="12">
        <v>1331675</v>
      </c>
      <c r="B44" s="12">
        <v>22543478</v>
      </c>
      <c r="C44" s="1" t="s">
        <v>138</v>
      </c>
      <c r="D44" s="1" t="s">
        <v>158</v>
      </c>
      <c r="E44" s="2" t="s">
        <v>107</v>
      </c>
      <c r="F44" s="11">
        <v>45712</v>
      </c>
      <c r="G44" s="13" t="s">
        <v>148</v>
      </c>
    </row>
    <row r="45" spans="1:10">
      <c r="A45" s="12">
        <v>1331676</v>
      </c>
      <c r="B45" s="12">
        <v>22550559</v>
      </c>
      <c r="C45" s="1" t="s">
        <v>135</v>
      </c>
      <c r="D45" s="1" t="s">
        <v>158</v>
      </c>
      <c r="E45" s="2" t="s">
        <v>107</v>
      </c>
      <c r="F45" s="11">
        <v>45712</v>
      </c>
      <c r="G45" s="13" t="s">
        <v>145</v>
      </c>
    </row>
    <row r="46" spans="1:10">
      <c r="C46" s="3" t="s">
        <v>116</v>
      </c>
      <c r="D46" s="2" t="s">
        <v>152</v>
      </c>
      <c r="E46" s="2" t="s">
        <v>117</v>
      </c>
      <c r="F46" s="11">
        <f>VLOOKUP(C46,Sheet2!$B$1:$G$39,4,FALSE)</f>
        <v>43466</v>
      </c>
      <c r="I46">
        <f>VLOOKUP(C46,Sheet2!$B$1:$G$39,5,FALSE)</f>
        <v>700</v>
      </c>
      <c r="J46" t="str">
        <f>VLOOKUP(C46,Sheet2!$B$1:$G$39,6,FALSE)</f>
        <v>Same as mentioned in Central Kitchen</v>
      </c>
    </row>
    <row r="47" spans="1:10">
      <c r="C47" s="3" t="s">
        <v>120</v>
      </c>
      <c r="D47" s="2" t="s">
        <v>151</v>
      </c>
      <c r="E47" s="2" t="s">
        <v>117</v>
      </c>
      <c r="F47" s="11">
        <f>VLOOKUP(C47,Sheet2!$B$1:$G$39,4,FALSE)</f>
        <v>44531</v>
      </c>
      <c r="I47">
        <f>VLOOKUP(C47,Sheet2!$B$1:$G$39,5,FALSE)</f>
        <v>1500</v>
      </c>
      <c r="J47">
        <f>VLOOKUP(C47,Sheet2!$B$1:$G$39,6,FALSE)</f>
        <v>70000</v>
      </c>
    </row>
    <row r="48" spans="1:10">
      <c r="C48" s="3" t="s">
        <v>123</v>
      </c>
      <c r="D48" s="2" t="s">
        <v>150</v>
      </c>
      <c r="E48" s="2" t="s">
        <v>117</v>
      </c>
      <c r="F48" s="11">
        <f>VLOOKUP(C48,Sheet2!$B$1:$G$39,4,FALSE)</f>
        <v>45489</v>
      </c>
      <c r="I48">
        <f>VLOOKUP(C48,Sheet2!$B$1:$G$39,5,FALSE)</f>
        <v>550</v>
      </c>
      <c r="J48">
        <f>VLOOKUP(C48,Sheet2!$B$1:$G$39,6,FALSE)</f>
        <v>47250</v>
      </c>
    </row>
  </sheetData>
  <autoFilter ref="A1:J48" xr:uid="{806B71C0-7F39-AC46-8944-6678F71F9F94}">
    <sortState xmlns:xlrd2="http://schemas.microsoft.com/office/spreadsheetml/2017/richdata2" ref="A2:J48">
      <sortCondition ref="B1:B4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9D861-7DA9-5E47-B041-33B92DD92667}">
  <dimension ref="A1:G39"/>
  <sheetViews>
    <sheetView workbookViewId="0">
      <selection activeCell="F1" sqref="F1:G1"/>
    </sheetView>
  </sheetViews>
  <sheetFormatPr baseColWidth="10" defaultRowHeight="16"/>
  <sheetData>
    <row r="1" spans="1:7" ht="19">
      <c r="A1" s="5" t="s">
        <v>110</v>
      </c>
      <c r="B1" s="5" t="s">
        <v>111</v>
      </c>
      <c r="C1" s="5" t="s">
        <v>112</v>
      </c>
      <c r="D1" s="5" t="s">
        <v>37</v>
      </c>
      <c r="E1" s="5" t="s">
        <v>113</v>
      </c>
      <c r="F1" s="5" t="s">
        <v>114</v>
      </c>
      <c r="G1" s="6" t="s">
        <v>115</v>
      </c>
    </row>
    <row r="2" spans="1:7" ht="19">
      <c r="A2" s="7">
        <v>7</v>
      </c>
      <c r="B2" s="7" t="s">
        <v>9</v>
      </c>
      <c r="C2" s="7" t="s">
        <v>107</v>
      </c>
      <c r="D2" s="7" t="s">
        <v>44</v>
      </c>
      <c r="E2" s="8">
        <v>43101</v>
      </c>
      <c r="F2" s="7">
        <v>120</v>
      </c>
      <c r="G2" s="9">
        <v>21000</v>
      </c>
    </row>
    <row r="3" spans="1:7" ht="19">
      <c r="A3" s="7">
        <v>9</v>
      </c>
      <c r="B3" s="7" t="s">
        <v>11</v>
      </c>
      <c r="C3" s="7" t="s">
        <v>107</v>
      </c>
      <c r="D3" s="7" t="s">
        <v>46</v>
      </c>
      <c r="E3" s="8">
        <v>43466</v>
      </c>
      <c r="F3" s="7">
        <v>160</v>
      </c>
      <c r="G3" s="9">
        <v>24200</v>
      </c>
    </row>
    <row r="4" spans="1:7" ht="19">
      <c r="A4" s="7">
        <v>33</v>
      </c>
      <c r="B4" s="7" t="s">
        <v>116</v>
      </c>
      <c r="C4" s="7" t="s">
        <v>117</v>
      </c>
      <c r="D4" s="7" t="s">
        <v>118</v>
      </c>
      <c r="E4" s="8">
        <v>43466</v>
      </c>
      <c r="F4" s="7">
        <v>700</v>
      </c>
      <c r="G4" s="7" t="s">
        <v>119</v>
      </c>
    </row>
    <row r="5" spans="1:7" ht="19">
      <c r="A5" s="7">
        <v>32</v>
      </c>
      <c r="B5" s="7" t="s">
        <v>120</v>
      </c>
      <c r="C5" s="7" t="s">
        <v>117</v>
      </c>
      <c r="D5" s="10"/>
      <c r="E5" s="8">
        <v>44531</v>
      </c>
      <c r="F5" s="9">
        <v>1500</v>
      </c>
      <c r="G5" s="9">
        <v>70000</v>
      </c>
    </row>
    <row r="6" spans="1:7" ht="19">
      <c r="A6" s="7">
        <v>5</v>
      </c>
      <c r="B6" s="7" t="s">
        <v>7</v>
      </c>
      <c r="C6" s="7" t="s">
        <v>107</v>
      </c>
      <c r="D6" s="7" t="s">
        <v>121</v>
      </c>
      <c r="E6" s="8">
        <v>44531</v>
      </c>
      <c r="F6" s="7">
        <v>135</v>
      </c>
      <c r="G6" s="9">
        <v>14000</v>
      </c>
    </row>
    <row r="7" spans="1:7" ht="19">
      <c r="A7" s="7">
        <v>3</v>
      </c>
      <c r="B7" s="7" t="s">
        <v>5</v>
      </c>
      <c r="C7" s="7" t="s">
        <v>107</v>
      </c>
      <c r="D7" s="7" t="s">
        <v>40</v>
      </c>
      <c r="E7" s="8">
        <v>45383</v>
      </c>
      <c r="F7" s="7">
        <v>120</v>
      </c>
      <c r="G7" s="9">
        <v>16000</v>
      </c>
    </row>
    <row r="8" spans="1:7" ht="19">
      <c r="A8" s="7">
        <v>1</v>
      </c>
      <c r="B8" s="7" t="s">
        <v>3</v>
      </c>
      <c r="C8" s="7" t="s">
        <v>107</v>
      </c>
      <c r="D8" s="7" t="s">
        <v>38</v>
      </c>
      <c r="E8" s="8">
        <v>45383</v>
      </c>
      <c r="F8" s="7">
        <v>150</v>
      </c>
      <c r="G8" s="7" t="s">
        <v>122</v>
      </c>
    </row>
    <row r="9" spans="1:7" ht="19">
      <c r="A9" s="7">
        <v>2</v>
      </c>
      <c r="B9" s="7" t="s">
        <v>4</v>
      </c>
      <c r="C9" s="7" t="s">
        <v>107</v>
      </c>
      <c r="D9" s="7" t="s">
        <v>39</v>
      </c>
      <c r="E9" s="8">
        <v>45462</v>
      </c>
      <c r="F9" s="7">
        <v>140</v>
      </c>
      <c r="G9" s="9">
        <v>16500</v>
      </c>
    </row>
    <row r="10" spans="1:7" ht="19">
      <c r="A10" s="7">
        <v>4</v>
      </c>
      <c r="B10" s="7" t="s">
        <v>6</v>
      </c>
      <c r="C10" s="7" t="s">
        <v>107</v>
      </c>
      <c r="D10" s="7" t="s">
        <v>41</v>
      </c>
      <c r="E10" s="8">
        <v>45471</v>
      </c>
      <c r="F10" s="7">
        <v>120</v>
      </c>
      <c r="G10" s="9">
        <v>13200</v>
      </c>
    </row>
    <row r="11" spans="1:7" ht="19">
      <c r="A11" s="7">
        <v>31</v>
      </c>
      <c r="B11" s="7" t="s">
        <v>123</v>
      </c>
      <c r="C11" s="7" t="s">
        <v>117</v>
      </c>
      <c r="D11" s="7" t="s">
        <v>38</v>
      </c>
      <c r="E11" s="8">
        <v>45489</v>
      </c>
      <c r="F11" s="7">
        <v>550</v>
      </c>
      <c r="G11" s="9">
        <v>47250</v>
      </c>
    </row>
    <row r="12" spans="1:7" ht="19">
      <c r="A12" s="7">
        <v>8</v>
      </c>
      <c r="B12" s="7" t="s">
        <v>10</v>
      </c>
      <c r="C12" s="7" t="s">
        <v>107</v>
      </c>
      <c r="D12" s="7" t="s">
        <v>45</v>
      </c>
      <c r="E12" s="8">
        <v>45492</v>
      </c>
      <c r="F12" s="7">
        <v>150</v>
      </c>
      <c r="G12" s="9">
        <v>16000</v>
      </c>
    </row>
    <row r="13" spans="1:7" ht="19">
      <c r="A13" s="7">
        <v>6</v>
      </c>
      <c r="B13" s="7" t="s">
        <v>8</v>
      </c>
      <c r="C13" s="7" t="s">
        <v>107</v>
      </c>
      <c r="D13" s="7" t="s">
        <v>124</v>
      </c>
      <c r="E13" s="8">
        <v>45494</v>
      </c>
      <c r="F13" s="7">
        <v>140</v>
      </c>
      <c r="G13" s="9">
        <v>27500</v>
      </c>
    </row>
    <row r="14" spans="1:7" ht="19">
      <c r="A14" s="7">
        <v>38</v>
      </c>
      <c r="B14" s="7" t="s">
        <v>125</v>
      </c>
      <c r="C14" s="7" t="s">
        <v>125</v>
      </c>
      <c r="D14" s="7" t="s">
        <v>126</v>
      </c>
      <c r="E14" s="8">
        <v>45566</v>
      </c>
      <c r="F14" s="9">
        <v>15300</v>
      </c>
      <c r="G14" s="9">
        <v>563850</v>
      </c>
    </row>
    <row r="15" spans="1:7" ht="19">
      <c r="A15" s="7">
        <v>10</v>
      </c>
      <c r="B15" s="7" t="s">
        <v>12</v>
      </c>
      <c r="C15" s="7" t="s">
        <v>107</v>
      </c>
      <c r="D15" s="7" t="s">
        <v>47</v>
      </c>
      <c r="E15" s="8">
        <v>45621</v>
      </c>
      <c r="F15" s="7">
        <v>140</v>
      </c>
      <c r="G15" s="9">
        <v>14850</v>
      </c>
    </row>
    <row r="16" spans="1:7" ht="19">
      <c r="A16" s="7">
        <v>11</v>
      </c>
      <c r="B16" s="7" t="s">
        <v>13</v>
      </c>
      <c r="C16" s="7" t="s">
        <v>107</v>
      </c>
      <c r="D16" s="7" t="s">
        <v>48</v>
      </c>
      <c r="E16" s="8">
        <v>45702</v>
      </c>
      <c r="F16" s="7">
        <v>150</v>
      </c>
      <c r="G16" s="9">
        <v>18000</v>
      </c>
    </row>
    <row r="17" spans="1:7" ht="19">
      <c r="A17" s="7">
        <v>12</v>
      </c>
      <c r="B17" s="7" t="s">
        <v>14</v>
      </c>
      <c r="C17" s="7" t="s">
        <v>107</v>
      </c>
      <c r="D17" s="7" t="s">
        <v>49</v>
      </c>
      <c r="E17" s="8">
        <v>45703</v>
      </c>
      <c r="F17" s="7">
        <v>120</v>
      </c>
      <c r="G17" s="9">
        <v>18000</v>
      </c>
    </row>
    <row r="18" spans="1:7" ht="19">
      <c r="A18" s="7">
        <v>13</v>
      </c>
      <c r="B18" s="7" t="s">
        <v>15</v>
      </c>
      <c r="C18" s="7" t="s">
        <v>107</v>
      </c>
      <c r="D18" s="7" t="s">
        <v>50</v>
      </c>
      <c r="E18" s="8">
        <v>45703</v>
      </c>
      <c r="F18" s="7">
        <v>180</v>
      </c>
      <c r="G18" s="9">
        <v>22500</v>
      </c>
    </row>
    <row r="19" spans="1:7" ht="19">
      <c r="A19" s="7">
        <v>14</v>
      </c>
      <c r="B19" s="7" t="s">
        <v>16</v>
      </c>
      <c r="C19" s="7" t="s">
        <v>107</v>
      </c>
      <c r="D19" s="7" t="s">
        <v>51</v>
      </c>
      <c r="E19" s="8">
        <v>45741</v>
      </c>
      <c r="F19" s="7">
        <v>120</v>
      </c>
      <c r="G19" s="9">
        <v>15000</v>
      </c>
    </row>
    <row r="20" spans="1:7" ht="19">
      <c r="A20" s="7">
        <v>15</v>
      </c>
      <c r="B20" s="7" t="s">
        <v>17</v>
      </c>
      <c r="C20" s="7" t="s">
        <v>107</v>
      </c>
      <c r="D20" s="7" t="s">
        <v>52</v>
      </c>
      <c r="E20" s="8">
        <v>45741</v>
      </c>
      <c r="F20" s="7">
        <v>120</v>
      </c>
      <c r="G20" s="9">
        <v>14000</v>
      </c>
    </row>
    <row r="21" spans="1:7" ht="19">
      <c r="A21" s="7">
        <v>16</v>
      </c>
      <c r="B21" s="7" t="s">
        <v>18</v>
      </c>
      <c r="C21" s="7" t="s">
        <v>107</v>
      </c>
      <c r="D21" s="7" t="s">
        <v>53</v>
      </c>
      <c r="E21" s="8">
        <v>45749</v>
      </c>
      <c r="F21" s="7">
        <v>150</v>
      </c>
      <c r="G21" s="9">
        <v>25500</v>
      </c>
    </row>
    <row r="22" spans="1:7" ht="19">
      <c r="A22" s="7">
        <v>17</v>
      </c>
      <c r="B22" s="7" t="s">
        <v>19</v>
      </c>
      <c r="C22" s="7" t="s">
        <v>107</v>
      </c>
      <c r="D22" s="7" t="s">
        <v>54</v>
      </c>
      <c r="E22" s="8">
        <v>45776</v>
      </c>
      <c r="F22" s="7">
        <v>150</v>
      </c>
      <c r="G22" s="9">
        <v>18000</v>
      </c>
    </row>
    <row r="23" spans="1:7" ht="19">
      <c r="A23" s="7">
        <v>18</v>
      </c>
      <c r="B23" s="7" t="s">
        <v>20</v>
      </c>
      <c r="C23" s="7" t="s">
        <v>107</v>
      </c>
      <c r="D23" s="7" t="s">
        <v>55</v>
      </c>
      <c r="E23" s="8">
        <v>45818</v>
      </c>
      <c r="F23" s="7">
        <v>150</v>
      </c>
      <c r="G23" s="9">
        <v>20000</v>
      </c>
    </row>
    <row r="24" spans="1:7" ht="19">
      <c r="A24" s="7">
        <v>19</v>
      </c>
      <c r="B24" s="7" t="s">
        <v>21</v>
      </c>
      <c r="C24" s="7" t="s">
        <v>107</v>
      </c>
      <c r="D24" s="7" t="s">
        <v>56</v>
      </c>
      <c r="E24" s="8">
        <v>45822</v>
      </c>
      <c r="F24" s="7">
        <v>140</v>
      </c>
      <c r="G24" s="9">
        <v>18000</v>
      </c>
    </row>
    <row r="25" spans="1:7" ht="19">
      <c r="A25" s="7">
        <v>20</v>
      </c>
      <c r="B25" s="7" t="s">
        <v>22</v>
      </c>
      <c r="C25" s="7" t="s">
        <v>107</v>
      </c>
      <c r="D25" s="7" t="s">
        <v>57</v>
      </c>
      <c r="E25" s="8">
        <v>45841</v>
      </c>
      <c r="F25" s="7">
        <v>200</v>
      </c>
      <c r="G25" s="9">
        <v>19000</v>
      </c>
    </row>
    <row r="26" spans="1:7" ht="19">
      <c r="A26" s="7">
        <v>21</v>
      </c>
      <c r="B26" s="7" t="s">
        <v>23</v>
      </c>
      <c r="C26" s="7" t="s">
        <v>107</v>
      </c>
      <c r="D26" s="7" t="s">
        <v>58</v>
      </c>
      <c r="E26" s="8">
        <v>45867</v>
      </c>
      <c r="F26" s="7">
        <v>200</v>
      </c>
      <c r="G26" s="9">
        <v>20000</v>
      </c>
    </row>
    <row r="27" spans="1:7" ht="19">
      <c r="A27" s="7">
        <v>22</v>
      </c>
      <c r="B27" s="7" t="s">
        <v>24</v>
      </c>
      <c r="C27" s="7" t="s">
        <v>107</v>
      </c>
      <c r="D27" s="7" t="s">
        <v>59</v>
      </c>
      <c r="E27" s="8">
        <v>45867</v>
      </c>
      <c r="F27" s="7">
        <v>140</v>
      </c>
      <c r="G27" s="9">
        <v>12000</v>
      </c>
    </row>
    <row r="28" spans="1:7" ht="19">
      <c r="A28" s="7">
        <v>23</v>
      </c>
      <c r="B28" s="7" t="s">
        <v>25</v>
      </c>
      <c r="C28" s="7" t="s">
        <v>107</v>
      </c>
      <c r="D28" s="7" t="s">
        <v>60</v>
      </c>
      <c r="E28" s="8">
        <v>45867</v>
      </c>
      <c r="F28" s="7">
        <v>120</v>
      </c>
      <c r="G28" s="9">
        <v>11000</v>
      </c>
    </row>
    <row r="29" spans="1:7" ht="19">
      <c r="A29" s="7">
        <v>24</v>
      </c>
      <c r="B29" s="7" t="s">
        <v>26</v>
      </c>
      <c r="C29" s="7" t="s">
        <v>107</v>
      </c>
      <c r="D29" s="7" t="s">
        <v>61</v>
      </c>
      <c r="E29" s="8">
        <v>45918</v>
      </c>
      <c r="F29" s="7">
        <v>130</v>
      </c>
      <c r="G29" s="9">
        <v>8500</v>
      </c>
    </row>
    <row r="30" spans="1:7" ht="19">
      <c r="A30" s="7">
        <v>26</v>
      </c>
      <c r="B30" s="7" t="s">
        <v>28</v>
      </c>
      <c r="C30" s="7" t="s">
        <v>107</v>
      </c>
      <c r="D30" s="7" t="s">
        <v>63</v>
      </c>
      <c r="E30" s="8">
        <v>45919</v>
      </c>
      <c r="F30" s="7">
        <v>120</v>
      </c>
      <c r="G30" s="9">
        <v>20000</v>
      </c>
    </row>
    <row r="31" spans="1:7" ht="19">
      <c r="A31" s="7">
        <v>27</v>
      </c>
      <c r="B31" s="7" t="s">
        <v>29</v>
      </c>
      <c r="C31" s="7" t="s">
        <v>107</v>
      </c>
      <c r="D31" s="7" t="s">
        <v>64</v>
      </c>
      <c r="E31" s="8">
        <v>45923</v>
      </c>
      <c r="F31" s="7">
        <v>140</v>
      </c>
      <c r="G31" s="9">
        <v>28000</v>
      </c>
    </row>
    <row r="32" spans="1:7" ht="19">
      <c r="A32" s="7">
        <v>25</v>
      </c>
      <c r="B32" s="7" t="s">
        <v>27</v>
      </c>
      <c r="C32" s="7" t="s">
        <v>107</v>
      </c>
      <c r="D32" s="7" t="s">
        <v>62</v>
      </c>
      <c r="E32" s="8">
        <v>45932</v>
      </c>
      <c r="F32" s="7">
        <v>140</v>
      </c>
      <c r="G32" s="9">
        <v>13500</v>
      </c>
    </row>
    <row r="33" spans="1:7" ht="19">
      <c r="A33" s="7">
        <v>28</v>
      </c>
      <c r="B33" s="7" t="s">
        <v>30</v>
      </c>
      <c r="C33" s="7" t="s">
        <v>107</v>
      </c>
      <c r="D33" s="7" t="s">
        <v>127</v>
      </c>
      <c r="E33" s="8">
        <v>45933</v>
      </c>
      <c r="F33" s="7">
        <v>140</v>
      </c>
      <c r="G33" s="9">
        <v>12000</v>
      </c>
    </row>
    <row r="34" spans="1:7" ht="19">
      <c r="A34" s="7">
        <v>29</v>
      </c>
      <c r="B34" s="7" t="s">
        <v>31</v>
      </c>
      <c r="C34" s="7" t="s">
        <v>107</v>
      </c>
      <c r="D34" s="7" t="s">
        <v>66</v>
      </c>
      <c r="E34" s="8">
        <v>45938</v>
      </c>
      <c r="F34" s="7">
        <v>140</v>
      </c>
      <c r="G34" s="9">
        <v>8600</v>
      </c>
    </row>
    <row r="35" spans="1:7" ht="19">
      <c r="A35" s="7">
        <v>30</v>
      </c>
      <c r="B35" s="7" t="s">
        <v>32</v>
      </c>
      <c r="C35" s="7" t="s">
        <v>107</v>
      </c>
      <c r="D35" s="7" t="s">
        <v>67</v>
      </c>
      <c r="E35" s="8">
        <v>45940</v>
      </c>
      <c r="F35" s="7">
        <v>140</v>
      </c>
      <c r="G35" s="9">
        <v>14000</v>
      </c>
    </row>
    <row r="36" spans="1:7" ht="19">
      <c r="A36" s="7">
        <v>34</v>
      </c>
      <c r="B36" s="7" t="s">
        <v>33</v>
      </c>
      <c r="C36" s="7" t="s">
        <v>107</v>
      </c>
      <c r="D36" s="7" t="s">
        <v>68</v>
      </c>
      <c r="E36" s="8">
        <v>46004</v>
      </c>
      <c r="F36" s="7">
        <v>120</v>
      </c>
      <c r="G36" s="9">
        <v>30000</v>
      </c>
    </row>
    <row r="37" spans="1:7" ht="19">
      <c r="A37" s="7">
        <v>35</v>
      </c>
      <c r="B37" s="7" t="s">
        <v>34</v>
      </c>
      <c r="C37" s="7" t="s">
        <v>107</v>
      </c>
      <c r="D37" s="7" t="s">
        <v>69</v>
      </c>
      <c r="E37" s="8">
        <v>46004</v>
      </c>
      <c r="F37" s="7">
        <v>140</v>
      </c>
      <c r="G37" s="9">
        <v>15000</v>
      </c>
    </row>
    <row r="38" spans="1:7" ht="19">
      <c r="A38" s="7">
        <v>37</v>
      </c>
      <c r="B38" s="7" t="s">
        <v>36</v>
      </c>
      <c r="C38" s="7" t="s">
        <v>107</v>
      </c>
      <c r="D38" s="7" t="s">
        <v>71</v>
      </c>
      <c r="E38" s="8">
        <v>46013</v>
      </c>
      <c r="F38" s="7">
        <v>140</v>
      </c>
      <c r="G38" s="9">
        <v>27000</v>
      </c>
    </row>
    <row r="39" spans="1:7" ht="19">
      <c r="A39" s="7">
        <v>36</v>
      </c>
      <c r="B39" s="7" t="s">
        <v>35</v>
      </c>
      <c r="C39" s="7" t="s">
        <v>107</v>
      </c>
      <c r="D39" s="7" t="s">
        <v>70</v>
      </c>
      <c r="E39" s="8">
        <v>46029</v>
      </c>
      <c r="F39" s="7">
        <v>120</v>
      </c>
      <c r="G39" s="9">
        <v>40000</v>
      </c>
    </row>
  </sheetData>
  <autoFilter ref="A1:G39" xr:uid="{B3A9D861-7DA9-5E47-B041-33B92DD926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Pranjay Mittal | Creme Castle</dc:creator>
  <cp:lastModifiedBy>Pranjay Mittal | Creme Castle</cp:lastModifiedBy>
  <dcterms:created xsi:type="dcterms:W3CDTF">2026-02-04T07:49:39Z</dcterms:created>
  <dcterms:modified xsi:type="dcterms:W3CDTF">2026-05-24T03:16:19Z</dcterms:modified>
</cp:coreProperties>
</file>